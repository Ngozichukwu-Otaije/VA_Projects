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3372e95077fd04/Documents/"/>
    </mc:Choice>
  </mc:AlternateContent>
  <xr:revisionPtr revIDLastSave="0" documentId="8_{191219A3-3B9C-4955-8631-7814278404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B29" i="1" l="1"/>
</calcChain>
</file>

<file path=xl/sharedStrings.xml><?xml version="1.0" encoding="utf-8"?>
<sst xmlns="http://schemas.openxmlformats.org/spreadsheetml/2006/main" count="161" uniqueCount="17">
  <si>
    <t>DATE</t>
  </si>
  <si>
    <t>BLASTING MATERIALS</t>
  </si>
  <si>
    <t>REPAIRS</t>
  </si>
  <si>
    <t>TRANSPORTATION/LOGISTICS</t>
  </si>
  <si>
    <t>FEEDING</t>
  </si>
  <si>
    <t>MATERIAL HAULAGE</t>
  </si>
  <si>
    <t>NEW ACQUISITION</t>
  </si>
  <si>
    <t xml:space="preserve">LEGAL FEES </t>
  </si>
  <si>
    <t>FINANCIAL REPORT FOR THE MONTH OF JUNE 2025</t>
  </si>
  <si>
    <t>NULL</t>
  </si>
  <si>
    <t xml:space="preserve"> FUEL &amp; ENGINE OIL</t>
  </si>
  <si>
    <t xml:space="preserve">NULL </t>
  </si>
  <si>
    <t xml:space="preserve"> NULL</t>
  </si>
  <si>
    <t>MISCELLEANOUS</t>
  </si>
  <si>
    <t>SALARY</t>
  </si>
  <si>
    <t>TOTAL</t>
  </si>
  <si>
    <t>COMMUNITY-SOCIAL ENGAMENT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</si>
</sst>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F800]dddd\,\ mmmm\ dd\,\ 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43" fontId="0" fillId="0" borderId="0" xfId="1" applyFont="1" applyAlignment="1">
      <alignment wrapText="1"/>
    </xf>
    <xf numFmtId="43" fontId="0" fillId="0" borderId="0" xfId="1" applyFont="1"/>
    <xf numFmtId="3" fontId="0" fillId="0" borderId="0" xfId="0" applyNumberFormat="1"/>
    <xf numFmtId="1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292782285615914"/>
          <c:y val="9.9998053738216588E-2"/>
          <c:w val="0.88134248656516356"/>
          <c:h val="0.72226011105638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  FUEL &amp; ENGINE OIL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45-4A13-9613-85620201B397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45-4A13-9613-85620201B397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45-4A13-9613-85620201B397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0DCB-5546-8330-EBC58683470C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845-4A13-9613-85620201B397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845-4A13-9613-85620201B397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845-4A13-9613-85620201B397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845-4A13-9613-85620201B397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845-4A13-9613-85620201B397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845-4A13-9613-85620201B3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Sheet1!$B$29</c:f>
              <c:numCache>
                <c:formatCode>_(* #,##0.00_);_(* \(#,##0.00\);_(* "-"??_);_(@_)</c:formatCode>
                <c:ptCount val="1"/>
                <c:pt idx="0">
                  <c:v>3599900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B-5546-8330-EBC58683470C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 BLASTING MATERIALS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Sheet1!$C$29</c:f>
              <c:numCache>
                <c:formatCode>_(* #,##0.00_);_(* \(#,##0.00\);_(* "-"??_);_(@_)</c:formatCode>
                <c:ptCount val="1"/>
                <c:pt idx="0">
                  <c:v>2827000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845-4A13-9613-85620201B397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 REPAIRS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Sheet1!$D$29</c:f>
              <c:numCache>
                <c:formatCode>_(* #,##0.00_);_(* \(#,##0.00\);_(* "-"??_);_(@_)</c:formatCode>
                <c:ptCount val="1"/>
                <c:pt idx="0">
                  <c:v>4904600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845-4A13-9613-85620201B397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 TRANSPORTATION/LOGISTICS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Sheet1!$E$29</c:f>
              <c:numCache>
                <c:formatCode>_(* #,##0.00_);_(* \(#,##0.00\);_(* "-"??_);_(@_)</c:formatCode>
                <c:ptCount val="1"/>
                <c:pt idx="0">
                  <c:v>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845-4A13-9613-85620201B397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 FEEDING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Sheet1!$F$29</c:f>
              <c:numCache>
                <c:formatCode>_(* #,##0.00_);_(* \(#,##0.00\);_(* "-"??_);_(@_)</c:formatCode>
                <c:ptCount val="1"/>
                <c:pt idx="0">
                  <c:v>327500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845-4A13-9613-85620201B397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 MATERIAL HAULAGE 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Sheet1!$G$29</c:f>
              <c:numCache>
                <c:formatCode>_(* #,##0.00_);_(* \(#,##0.00\);_(* "-"??_);_(@_)</c:formatCode>
                <c:ptCount val="1"/>
                <c:pt idx="0">
                  <c:v>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45-4A13-9613-85620201B397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 NEW ACQUISITION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Sheet1!$H$29</c:f>
              <c:numCache>
                <c:formatCode>_(* #,##0.00_);_(* \(#,##0.00\);_(* "-"??_);_(@_)</c:formatCode>
                <c:ptCount val="1"/>
                <c:pt idx="0">
                  <c:v>197000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845-4A13-9613-85620201B397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 LEGAL FEES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Sheet1!$I$29</c:f>
              <c:numCache>
                <c:formatCode>_(* #,##0.00_);_(* \(#,##0.00\);_(* "-"??_);_(@_)</c:formatCode>
                <c:ptCount val="1"/>
                <c:pt idx="0">
                  <c:v>410000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845-4A13-9613-85620201B397}"/>
            </c:ext>
          </c:extLst>
        </c:ser>
        <c:ser>
          <c:idx val="8"/>
          <c:order val="8"/>
          <c:tx>
            <c:strRef>
              <c:f>Sheet1!$J$2</c:f>
              <c:strCache>
                <c:ptCount val="1"/>
                <c:pt idx="0">
                  <c:v> MISCELLEANOUS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Sheet1!$J$29</c:f>
              <c:numCache>
                <c:formatCode>_(* #,##0.00_);_(* \(#,##0.00\);_(* "-"??_);_(@_)</c:formatCode>
                <c:ptCount val="1"/>
                <c:pt idx="0">
                  <c:v>6912500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845-4A13-9613-85620201B397}"/>
            </c:ext>
          </c:extLst>
        </c:ser>
        <c:ser>
          <c:idx val="9"/>
          <c:order val="9"/>
          <c:tx>
            <c:strRef>
              <c:f>Sheet1!$K$2</c:f>
              <c:strCache>
                <c:ptCount val="1"/>
                <c:pt idx="0">
                  <c:v> COMMUNITY-SOCIAL ENGAMENT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Sheet1!$K$29</c:f>
              <c:numCache>
                <c:formatCode>_(* #,##0.00_);_(* \(#,##0.00\);_(* "-"??_);_(@_)</c:formatCode>
                <c:ptCount val="1"/>
                <c:pt idx="0">
                  <c:v>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845-4A13-9613-85620201B397}"/>
            </c:ext>
          </c:extLst>
        </c:ser>
        <c:ser>
          <c:idx val="10"/>
          <c:order val="10"/>
          <c:tx>
            <c:strRef>
              <c:f>Sheet1!$L$2</c:f>
              <c:strCache>
                <c:ptCount val="1"/>
                <c:pt idx="0">
                  <c:v> SALARY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Sheet1!$L$29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845-4A13-9613-85620201B3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3404512"/>
        <c:axId val="323401376"/>
      </c:barChart>
      <c:catAx>
        <c:axId val="32340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01376"/>
        <c:crosses val="autoZero"/>
        <c:auto val="1"/>
        <c:lblAlgn val="ctr"/>
        <c:lblOffset val="100"/>
        <c:noMultiLvlLbl val="0"/>
      </c:catAx>
      <c:valAx>
        <c:axId val="3234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40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453432</xdr:colOff>
      <xdr:row>0</xdr:row>
      <xdr:rowOff>0</xdr:rowOff>
    </xdr:from>
    <xdr:to>
      <xdr:col>25</xdr:col>
      <xdr:colOff>33865</xdr:colOff>
      <xdr:row>27</xdr:row>
      <xdr:rowOff>70556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092133-EA51-3640-9BE6-2D5420C25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J1" zoomScale="75" workbookViewId="0">
      <selection activeCell="K2" sqref="K2"/>
    </sheetView>
  </sheetViews>
  <sheetFormatPr defaultColWidth="11" defaultRowHeight="15.5" x14ac:dyDescent="0.35"/>
  <cols>
    <col min="1" max="1" width="24.08203125" style="2" bestFit="1" customWidth="1"/>
    <col min="2" max="2" width="20.83203125" style="4" bestFit="1" customWidth="1"/>
    <col min="3" max="3" width="19" style="4" bestFit="1" customWidth="1"/>
    <col min="4" max="4" width="14.08203125" style="4" bestFit="1" customWidth="1"/>
    <col min="5" max="5" width="26.33203125" style="4" bestFit="1" customWidth="1"/>
    <col min="6" max="6" width="12.58203125" style="4" bestFit="1" customWidth="1"/>
    <col min="7" max="7" width="18.33203125" style="4" bestFit="1" customWidth="1"/>
    <col min="8" max="8" width="17" style="4" bestFit="1" customWidth="1"/>
    <col min="9" max="9" width="12.58203125" style="4" bestFit="1" customWidth="1"/>
    <col min="10" max="10" width="15.58203125" style="4" customWidth="1"/>
    <col min="11" max="11" width="13.75" style="4" bestFit="1" customWidth="1"/>
    <col min="12" max="12" width="15.33203125" bestFit="1" customWidth="1"/>
  </cols>
  <sheetData>
    <row r="1" spans="1:12" x14ac:dyDescent="0.35">
      <c r="A1" s="6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46.5" x14ac:dyDescent="0.35">
      <c r="A2" s="2" t="s">
        <v>0</v>
      </c>
      <c r="B2" s="3" t="s">
        <v>10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13</v>
      </c>
      <c r="K2" s="3" t="s">
        <v>16</v>
      </c>
      <c r="L2" s="3" t="s">
        <v>14</v>
      </c>
    </row>
    <row r="3" spans="1:12" x14ac:dyDescent="0.35">
      <c r="A3" s="1">
        <v>45809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4" t="s">
        <v>9</v>
      </c>
      <c r="H3" s="4" t="s">
        <v>9</v>
      </c>
      <c r="I3" s="4" t="s">
        <v>9</v>
      </c>
      <c r="J3" s="4" t="s">
        <v>9</v>
      </c>
    </row>
    <row r="4" spans="1:12" x14ac:dyDescent="0.35">
      <c r="A4" s="1">
        <v>45810</v>
      </c>
      <c r="B4" s="4">
        <v>55000</v>
      </c>
      <c r="C4" s="4" t="s">
        <v>9</v>
      </c>
      <c r="D4" s="4">
        <v>380000</v>
      </c>
      <c r="E4" s="4" t="s">
        <v>9</v>
      </c>
      <c r="F4" s="4" t="s">
        <v>9</v>
      </c>
      <c r="G4" s="4">
        <v>100000</v>
      </c>
      <c r="H4" s="4" t="s">
        <v>9</v>
      </c>
      <c r="I4" s="4">
        <v>200000</v>
      </c>
      <c r="J4" s="4">
        <v>163900</v>
      </c>
    </row>
    <row r="5" spans="1:12" x14ac:dyDescent="0.35">
      <c r="A5" s="1">
        <v>45811</v>
      </c>
      <c r="B5" s="4">
        <v>118800</v>
      </c>
      <c r="C5" s="4">
        <v>122000</v>
      </c>
      <c r="D5" s="4">
        <v>520000</v>
      </c>
      <c r="E5" s="4" t="s">
        <v>9</v>
      </c>
      <c r="F5" s="4" t="s">
        <v>9</v>
      </c>
      <c r="G5" s="4">
        <v>45000</v>
      </c>
      <c r="H5" s="4" t="s">
        <v>9</v>
      </c>
      <c r="I5" s="4" t="s">
        <v>9</v>
      </c>
      <c r="J5" s="4" t="s">
        <v>9</v>
      </c>
    </row>
    <row r="6" spans="1:12" x14ac:dyDescent="0.35">
      <c r="A6" s="1">
        <v>45812</v>
      </c>
      <c r="B6" s="4">
        <v>148000</v>
      </c>
      <c r="C6" s="4" t="s">
        <v>9</v>
      </c>
      <c r="D6" s="4" t="s">
        <v>9</v>
      </c>
      <c r="E6" s="4" t="s">
        <v>9</v>
      </c>
      <c r="F6" s="4">
        <v>10000</v>
      </c>
      <c r="G6" s="4">
        <v>54000</v>
      </c>
      <c r="H6" s="4" t="s">
        <v>9</v>
      </c>
      <c r="I6" s="4" t="s">
        <v>9</v>
      </c>
      <c r="J6" s="4">
        <v>15000</v>
      </c>
    </row>
    <row r="7" spans="1:12" x14ac:dyDescent="0.35">
      <c r="A7" s="1">
        <v>45813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4" t="s">
        <v>9</v>
      </c>
      <c r="H7" s="4" t="s">
        <v>9</v>
      </c>
      <c r="I7" s="4" t="s">
        <v>9</v>
      </c>
      <c r="J7" s="4" t="s">
        <v>9</v>
      </c>
      <c r="K7" s="4">
        <v>3000000</v>
      </c>
    </row>
    <row r="8" spans="1:12" x14ac:dyDescent="0.35">
      <c r="A8" s="1">
        <v>45818</v>
      </c>
      <c r="B8" s="4">
        <v>375000</v>
      </c>
      <c r="C8" s="4">
        <v>1000000</v>
      </c>
      <c r="D8" s="4">
        <v>15000</v>
      </c>
      <c r="E8" s="4">
        <v>35000</v>
      </c>
      <c r="F8" s="4" t="s">
        <v>9</v>
      </c>
      <c r="G8" s="4">
        <v>285000</v>
      </c>
      <c r="H8" s="4" t="s">
        <v>9</v>
      </c>
      <c r="I8" s="4" t="s">
        <v>9</v>
      </c>
      <c r="J8" s="4" t="s">
        <v>9</v>
      </c>
    </row>
    <row r="9" spans="1:12" x14ac:dyDescent="0.35">
      <c r="A9" s="1">
        <v>45819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4" t="s">
        <v>9</v>
      </c>
      <c r="I9" s="4" t="s">
        <v>9</v>
      </c>
      <c r="J9" s="4">
        <v>1300000</v>
      </c>
    </row>
    <row r="10" spans="1:12" x14ac:dyDescent="0.35">
      <c r="A10" s="1">
        <v>45820</v>
      </c>
      <c r="B10" s="4" t="s">
        <v>9</v>
      </c>
      <c r="C10" s="4" t="s">
        <v>9</v>
      </c>
      <c r="D10" s="4">
        <v>113000</v>
      </c>
      <c r="E10" s="4" t="s">
        <v>9</v>
      </c>
      <c r="F10" s="4" t="s">
        <v>9</v>
      </c>
      <c r="G10" s="4" t="s">
        <v>9</v>
      </c>
      <c r="H10" s="4" t="s">
        <v>9</v>
      </c>
      <c r="I10" s="4" t="s">
        <v>9</v>
      </c>
      <c r="J10" s="4" t="s">
        <v>9</v>
      </c>
    </row>
    <row r="11" spans="1:12" x14ac:dyDescent="0.35">
      <c r="A11" s="1">
        <v>45821</v>
      </c>
      <c r="B11" s="4">
        <v>212000</v>
      </c>
      <c r="C11" s="4">
        <v>25000</v>
      </c>
      <c r="D11" s="4">
        <v>315000</v>
      </c>
      <c r="E11" s="4" t="s">
        <v>9</v>
      </c>
      <c r="F11" s="4">
        <v>84500</v>
      </c>
      <c r="G11" s="4" t="s">
        <v>9</v>
      </c>
      <c r="H11" s="4" t="s">
        <v>9</v>
      </c>
      <c r="I11" s="4" t="s">
        <v>9</v>
      </c>
      <c r="J11" s="4">
        <v>843000</v>
      </c>
    </row>
    <row r="12" spans="1:12" x14ac:dyDescent="0.35">
      <c r="A12" s="1">
        <v>45822</v>
      </c>
      <c r="B12" s="4" t="s">
        <v>9</v>
      </c>
      <c r="C12" s="4" t="s">
        <v>9</v>
      </c>
      <c r="D12" s="4" t="s">
        <v>9</v>
      </c>
      <c r="E12" s="4" t="s">
        <v>9</v>
      </c>
      <c r="F12" s="4" t="s">
        <v>9</v>
      </c>
      <c r="G12" s="4">
        <v>60000</v>
      </c>
      <c r="H12" s="4" t="s">
        <v>9</v>
      </c>
      <c r="I12" s="4" t="s">
        <v>9</v>
      </c>
      <c r="J12" s="4" t="s">
        <v>9</v>
      </c>
    </row>
    <row r="13" spans="1:12" x14ac:dyDescent="0.35">
      <c r="A13" s="1">
        <v>45824</v>
      </c>
      <c r="B13" s="4" t="s">
        <v>9</v>
      </c>
      <c r="C13" s="4" t="s">
        <v>9</v>
      </c>
      <c r="D13" s="4">
        <v>40000</v>
      </c>
      <c r="E13" s="4">
        <v>40000</v>
      </c>
      <c r="F13" s="4" t="s">
        <v>9</v>
      </c>
      <c r="G13" s="4" t="s">
        <v>9</v>
      </c>
      <c r="H13" s="4" t="s">
        <v>9</v>
      </c>
      <c r="I13" s="4" t="s">
        <v>9</v>
      </c>
      <c r="J13" s="4" t="s">
        <v>9</v>
      </c>
    </row>
    <row r="14" spans="1:12" x14ac:dyDescent="0.35">
      <c r="A14" s="1">
        <v>45825</v>
      </c>
      <c r="B14" s="4">
        <v>270500</v>
      </c>
      <c r="C14" s="4">
        <v>125000</v>
      </c>
      <c r="D14" s="4" t="s">
        <v>9</v>
      </c>
      <c r="E14" s="4" t="s">
        <v>9</v>
      </c>
      <c r="F14" s="4" t="s">
        <v>9</v>
      </c>
      <c r="G14" s="4" t="s">
        <v>9</v>
      </c>
      <c r="H14" s="4" t="s">
        <v>9</v>
      </c>
      <c r="I14" s="4" t="s">
        <v>9</v>
      </c>
      <c r="J14" s="4">
        <v>100000</v>
      </c>
    </row>
    <row r="15" spans="1:12" x14ac:dyDescent="0.35">
      <c r="A15" s="1">
        <v>45826</v>
      </c>
      <c r="B15" s="4">
        <v>130000</v>
      </c>
      <c r="C15" s="4" t="s">
        <v>9</v>
      </c>
      <c r="D15" s="4" t="s">
        <v>11</v>
      </c>
      <c r="E15" s="4">
        <v>434000</v>
      </c>
      <c r="F15" s="4">
        <v>85000</v>
      </c>
      <c r="G15" s="4" t="s">
        <v>9</v>
      </c>
      <c r="H15" s="4">
        <v>20000</v>
      </c>
      <c r="I15" s="4" t="s">
        <v>9</v>
      </c>
      <c r="J15" s="4">
        <v>90000</v>
      </c>
    </row>
    <row r="16" spans="1:12" x14ac:dyDescent="0.35">
      <c r="A16" s="1">
        <v>45827</v>
      </c>
      <c r="B16" s="4" t="s">
        <v>9</v>
      </c>
      <c r="C16" s="4" t="s">
        <v>9</v>
      </c>
      <c r="D16" s="4">
        <v>48000</v>
      </c>
      <c r="E16" s="4">
        <v>20000</v>
      </c>
      <c r="F16" s="4" t="s">
        <v>9</v>
      </c>
      <c r="G16" s="4" t="s">
        <v>9</v>
      </c>
      <c r="H16" s="4" t="s">
        <v>9</v>
      </c>
      <c r="I16" s="4" t="s">
        <v>9</v>
      </c>
      <c r="J16" s="4">
        <v>50600</v>
      </c>
    </row>
    <row r="17" spans="1:12" x14ac:dyDescent="0.35">
      <c r="A17" s="1">
        <v>45828</v>
      </c>
      <c r="B17" s="4">
        <v>176500</v>
      </c>
      <c r="C17" s="4" t="s">
        <v>9</v>
      </c>
      <c r="D17" s="4">
        <v>55600</v>
      </c>
      <c r="E17" s="4" t="s">
        <v>9</v>
      </c>
      <c r="F17" s="4">
        <v>17000</v>
      </c>
      <c r="G17" s="4" t="s">
        <v>9</v>
      </c>
      <c r="H17" s="4" t="s">
        <v>9</v>
      </c>
      <c r="I17" s="4" t="s">
        <v>9</v>
      </c>
      <c r="J17" s="4">
        <v>1687000</v>
      </c>
    </row>
    <row r="18" spans="1:12" x14ac:dyDescent="0.35">
      <c r="A18" s="1">
        <v>45829</v>
      </c>
      <c r="B18" s="4" t="s">
        <v>9</v>
      </c>
      <c r="C18" s="4" t="s">
        <v>9</v>
      </c>
      <c r="D18" s="4" t="s">
        <v>12</v>
      </c>
      <c r="E18" s="4">
        <v>170000</v>
      </c>
      <c r="F18" s="4" t="s">
        <v>9</v>
      </c>
      <c r="G18" s="4" t="s">
        <v>9</v>
      </c>
      <c r="H18" s="4" t="s">
        <v>9</v>
      </c>
      <c r="I18" s="4" t="s">
        <v>9</v>
      </c>
      <c r="J18" s="4" t="s">
        <v>9</v>
      </c>
    </row>
    <row r="19" spans="1:12" x14ac:dyDescent="0.35">
      <c r="A19" s="1">
        <v>45830</v>
      </c>
      <c r="B19" s="4" t="s">
        <v>9</v>
      </c>
      <c r="C19" s="4" t="s">
        <v>9</v>
      </c>
      <c r="D19" s="4" t="s">
        <v>9</v>
      </c>
      <c r="E19" s="4" t="s">
        <v>9</v>
      </c>
      <c r="F19" s="4" t="s">
        <v>9</v>
      </c>
      <c r="G19" s="4" t="s">
        <v>9</v>
      </c>
      <c r="H19" s="4" t="s">
        <v>9</v>
      </c>
      <c r="I19" s="4">
        <v>100000</v>
      </c>
      <c r="J19" s="4" t="s">
        <v>9</v>
      </c>
    </row>
    <row r="20" spans="1:12" x14ac:dyDescent="0.35">
      <c r="A20" s="1">
        <v>45831</v>
      </c>
      <c r="B20" s="4">
        <v>180000</v>
      </c>
      <c r="C20" s="4">
        <v>125000</v>
      </c>
      <c r="D20" s="4">
        <v>225000</v>
      </c>
      <c r="E20" s="4">
        <v>166000</v>
      </c>
      <c r="F20" s="4" t="s">
        <v>9</v>
      </c>
      <c r="G20" s="4" t="s">
        <v>9</v>
      </c>
      <c r="H20" s="4" t="s">
        <v>9</v>
      </c>
      <c r="I20" s="4">
        <v>100000</v>
      </c>
      <c r="J20" s="4">
        <v>50000</v>
      </c>
    </row>
    <row r="21" spans="1:12" x14ac:dyDescent="0.35">
      <c r="A21" s="1">
        <v>45832</v>
      </c>
      <c r="B21" s="4">
        <v>391100</v>
      </c>
      <c r="C21" s="4" t="s">
        <v>9</v>
      </c>
      <c r="D21" s="4" t="s">
        <v>9</v>
      </c>
      <c r="E21" s="4" t="s">
        <v>9</v>
      </c>
      <c r="F21" s="4">
        <v>5500</v>
      </c>
      <c r="G21" s="4" t="s">
        <v>9</v>
      </c>
      <c r="H21" s="4" t="s">
        <v>9</v>
      </c>
      <c r="I21" s="4" t="s">
        <v>9</v>
      </c>
      <c r="J21" s="4" t="s">
        <v>9</v>
      </c>
    </row>
    <row r="22" spans="1:12" x14ac:dyDescent="0.35">
      <c r="A22" s="1">
        <v>45833</v>
      </c>
      <c r="B22" s="4">
        <v>749000</v>
      </c>
      <c r="C22" s="4">
        <v>960000</v>
      </c>
      <c r="D22" s="4">
        <v>110000</v>
      </c>
      <c r="E22" s="4" t="s">
        <v>9</v>
      </c>
      <c r="F22" s="4" t="s">
        <v>9</v>
      </c>
      <c r="G22" s="4" t="s">
        <v>9</v>
      </c>
      <c r="H22" s="4" t="s">
        <v>9</v>
      </c>
      <c r="I22" s="4">
        <v>10000</v>
      </c>
      <c r="J22" s="4">
        <v>430000</v>
      </c>
    </row>
    <row r="23" spans="1:12" x14ac:dyDescent="0.35">
      <c r="A23" s="1">
        <v>45834</v>
      </c>
      <c r="B23" s="4">
        <v>75000</v>
      </c>
      <c r="C23" s="4">
        <v>470000</v>
      </c>
      <c r="D23" s="4">
        <v>50000</v>
      </c>
      <c r="E23" s="4">
        <v>15000</v>
      </c>
      <c r="F23" s="4">
        <v>85000</v>
      </c>
      <c r="G23" s="4" t="s">
        <v>9</v>
      </c>
      <c r="H23" s="4" t="s">
        <v>9</v>
      </c>
      <c r="I23" s="4" t="s">
        <v>9</v>
      </c>
      <c r="J23" s="4">
        <v>171500</v>
      </c>
    </row>
    <row r="24" spans="1:12" x14ac:dyDescent="0.35">
      <c r="A24" s="1">
        <v>45835</v>
      </c>
      <c r="B24" s="4">
        <v>15000</v>
      </c>
      <c r="C24" s="4" t="s">
        <v>9</v>
      </c>
      <c r="D24" s="4">
        <v>45000</v>
      </c>
      <c r="E24" s="4" t="s">
        <v>9</v>
      </c>
      <c r="F24" s="4">
        <v>15000</v>
      </c>
      <c r="G24" s="4" t="s">
        <v>9</v>
      </c>
      <c r="H24" s="4" t="s">
        <v>9</v>
      </c>
      <c r="I24" s="4" t="s">
        <v>9</v>
      </c>
      <c r="J24" s="4">
        <v>141500</v>
      </c>
    </row>
    <row r="25" spans="1:12" x14ac:dyDescent="0.35">
      <c r="A25" s="1">
        <v>45836</v>
      </c>
      <c r="B25" s="4">
        <v>20000</v>
      </c>
      <c r="C25" s="4" t="s">
        <v>9</v>
      </c>
      <c r="D25" s="4">
        <v>695000</v>
      </c>
      <c r="E25" s="4" t="s">
        <v>9</v>
      </c>
      <c r="F25" s="4">
        <v>25500</v>
      </c>
      <c r="G25" s="4" t="s">
        <v>9</v>
      </c>
      <c r="H25" s="4" t="s">
        <v>9</v>
      </c>
      <c r="I25" s="4" t="s">
        <v>9</v>
      </c>
      <c r="J25" s="4">
        <v>220000</v>
      </c>
    </row>
    <row r="26" spans="1:12" x14ac:dyDescent="0.35">
      <c r="A26" s="1">
        <v>45837</v>
      </c>
      <c r="B26" s="4">
        <v>664000</v>
      </c>
      <c r="C26" s="4" t="s">
        <v>9</v>
      </c>
      <c r="D26" s="4">
        <v>393000</v>
      </c>
      <c r="E26" s="4" t="s">
        <v>9</v>
      </c>
      <c r="F26" s="4" t="s">
        <v>9</v>
      </c>
      <c r="G26" s="4" t="s">
        <v>9</v>
      </c>
      <c r="H26" s="4">
        <v>177000</v>
      </c>
      <c r="I26" s="4" t="s">
        <v>9</v>
      </c>
      <c r="J26" s="4">
        <v>870000</v>
      </c>
    </row>
    <row r="27" spans="1:12" x14ac:dyDescent="0.35">
      <c r="A27" s="1">
        <v>45838</v>
      </c>
      <c r="B27" s="4">
        <v>20000</v>
      </c>
      <c r="C27" s="4" t="s">
        <v>9</v>
      </c>
      <c r="D27" s="4">
        <v>1900000</v>
      </c>
      <c r="E27" s="4" t="s">
        <v>9</v>
      </c>
      <c r="F27" s="4" t="s">
        <v>9</v>
      </c>
      <c r="G27" s="4" t="s">
        <v>9</v>
      </c>
      <c r="H27" s="4" t="s">
        <v>9</v>
      </c>
      <c r="I27" s="4" t="s">
        <v>9</v>
      </c>
      <c r="J27" s="4">
        <v>780000</v>
      </c>
    </row>
    <row r="28" spans="1:12" x14ac:dyDescent="0.35">
      <c r="A28" s="2" t="s">
        <v>14</v>
      </c>
      <c r="L28" s="5">
        <v>5130000</v>
      </c>
    </row>
    <row r="29" spans="1:12" x14ac:dyDescent="0.35">
      <c r="A29" s="2" t="s">
        <v>15</v>
      </c>
      <c r="B29" s="4">
        <f>SUM(B4:B27)</f>
        <v>3599900</v>
      </c>
      <c r="C29" s="4">
        <f t="shared" ref="C29:L29" si="0">SUM(C4:C27)</f>
        <v>2827000</v>
      </c>
      <c r="D29" s="4">
        <f t="shared" si="0"/>
        <v>4904600</v>
      </c>
      <c r="E29" s="4">
        <f t="shared" si="0"/>
        <v>880000</v>
      </c>
      <c r="F29" s="4">
        <f t="shared" si="0"/>
        <v>327500</v>
      </c>
      <c r="G29" s="4">
        <f t="shared" si="0"/>
        <v>544000</v>
      </c>
      <c r="H29" s="4">
        <f t="shared" si="0"/>
        <v>197000</v>
      </c>
      <c r="I29" s="4">
        <f t="shared" si="0"/>
        <v>410000</v>
      </c>
      <c r="J29" s="4">
        <f t="shared" si="0"/>
        <v>6912500</v>
      </c>
      <c r="K29" s="4">
        <f t="shared" si="0"/>
        <v>3000000</v>
      </c>
      <c r="L29" s="4">
        <f t="shared" si="0"/>
        <v>0</v>
      </c>
    </row>
  </sheetData>
  <mergeCells count="1">
    <mergeCell ref="A1:K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Ngozichukwu Otaije</cp:lastModifiedBy>
  <cp:lastPrinted>2025-03-21T15:02:54Z</cp:lastPrinted>
  <dcterms:created xsi:type="dcterms:W3CDTF">2025-07-03T22:20:16Z</dcterms:created>
  <dcterms:modified xsi:type="dcterms:W3CDTF">2025-11-03T15:20:03Z</dcterms:modified>
</cp:coreProperties>
</file>